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IST\SEM 2\ICS\Project\codes\"/>
    </mc:Choice>
  </mc:AlternateContent>
  <xr:revisionPtr revIDLastSave="0" documentId="13_ncr:1_{5B3D7F0A-8C19-4707-B7E2-8755783799BD}" xr6:coauthVersionLast="47" xr6:coauthVersionMax="47" xr10:uidLastSave="{00000000-0000-0000-0000-000000000000}"/>
  <bookViews>
    <workbookView xWindow="-120" yWindow="-120" windowWidth="38640" windowHeight="15840" xr2:uid="{61A5BFA1-8959-49E8-B12D-4BEE7F608F10}"/>
  </bookViews>
  <sheets>
    <sheet name="Sheet1" sheetId="1" r:id="rId1"/>
  </sheets>
  <externalReferences>
    <externalReference r:id="rId2"/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J3" i="1"/>
  <c r="I3" i="1"/>
  <c r="H3" i="1"/>
  <c r="G3" i="1"/>
  <c r="F3" i="1"/>
  <c r="E3" i="1"/>
  <c r="D3" i="1"/>
  <c r="C3" i="1"/>
  <c r="B3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<sst xmlns="http://schemas.openxmlformats.org/spreadsheetml/2006/main" count="11" uniqueCount="11">
  <si>
    <t>Q</t>
  </si>
  <si>
    <t>F</t>
  </si>
  <si>
    <t>world-width</t>
  </si>
  <si>
    <t>world-height</t>
  </si>
  <si>
    <t>[step]</t>
  </si>
  <si>
    <t>event-count</t>
  </si>
  <si>
    <t>interaction-count</t>
  </si>
  <si>
    <t>interaction-rate</t>
  </si>
  <si>
    <t>unique-cultures</t>
  </si>
  <si>
    <t>number-of-regions</t>
  </si>
  <si>
    <t>[index]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</si>
</sst>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double">
        <color theme="9"/>
      </top>
      <bottom style="thin">
        <color theme="9" tint="0.39997558519241921"/>
      </bottom>
      <diagonal/>
    </border>
    <border>
      <left/>
      <right/>
      <top style="double">
        <color theme="9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double">
        <color theme="9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IIST\SEM%202\ICS\Project\codes\experiment-table5_5.csv" TargetMode="External"/><Relationship Id="rId1" Type="http://schemas.openxmlformats.org/officeDocument/2006/relationships/externalLinkPath" Target="experiment-table5_5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IIST\SEM%202\ICS\Project\codes\experiment-table10_10.csv" TargetMode="External"/><Relationship Id="rId1" Type="http://schemas.openxmlformats.org/officeDocument/2006/relationships/externalLinkPath" Target="experiment-table10_1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eriment-table5_5"/>
      <sheetName val="Sheet2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eriment-table10_10"/>
      <sheetName val="Sheet1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AF4D-8001-47F5-9C8B-BC41452CBC53}">
  <dimension ref="A1:K3"/>
  <sheetViews>
    <sheetView tabSelected="1" workbookViewId="0">
      <selection activeCell="K4" sqref="K4"/>
    </sheetView>
  </sheetViews>
  <sheetFormatPr defaultRowHeight="15" x14ac:dyDescent="0.25"/>
  <cols>
    <col min="4" max="4" width="12" bestFit="1" customWidth="1"/>
    <col min="5" max="5" width="12.5703125" bestFit="1" customWidth="1"/>
    <col min="7" max="7" width="12" bestFit="1" customWidth="1"/>
    <col min="8" max="8" width="16.5703125" bestFit="1" customWidth="1"/>
    <col min="9" max="9" width="15.140625" bestFit="1" customWidth="1"/>
    <col min="10" max="10" width="15.28515625" bestFit="1" customWidth="1"/>
    <col min="11" max="11" width="18.1406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t="15.75" thickBot="1" x14ac:dyDescent="0.3">
      <c r="A2">
        <v>1</v>
      </c>
      <c r="B2">
        <f>SUBTOTAL(101,[1]!Table1_2[Q])</f>
        <v>10</v>
      </c>
      <c r="C2">
        <f>SUBTOTAL(101,[1]!Table1_2[F])</f>
        <v>5</v>
      </c>
      <c r="D2">
        <f>SUBTOTAL(101,[1]!Table1_2[world-width])</f>
        <v>5</v>
      </c>
      <c r="E2">
        <f>SUBTOTAL(101,[1]!Table1_2[world-height])</f>
        <v>5</v>
      </c>
      <c r="F2">
        <f>SUBTOTAL(101,[1]!Table1_2['[step']])</f>
        <v>131.43333333333334</v>
      </c>
      <c r="G2">
        <f>SUBTOTAL(101,[1]!Table1_2[event-count])</f>
        <v>13143333.333333334</v>
      </c>
      <c r="H2">
        <f>SUBTOTAL(101,[1]!Table1_2[interaction-count])</f>
        <v>419906.6</v>
      </c>
      <c r="I2">
        <f>SUBTOTAL(101,[1]!Table1_2[interaction-rate])</f>
        <v>3.5428948710884083E-2</v>
      </c>
      <c r="J2">
        <f>SUBTOTAL(101,[1]!Table1_2[unique-cultures])</f>
        <v>6.333333333333333</v>
      </c>
      <c r="K2">
        <f>SUBTOTAL(101,[1]!Table1_2[number-of-regions])</f>
        <v>6.333333333333333</v>
      </c>
    </row>
    <row r="3" spans="1:11" ht="15.75" thickTop="1" x14ac:dyDescent="0.25">
      <c r="A3" s="3">
        <v>2</v>
      </c>
      <c r="B3" s="1">
        <f>SUBTOTAL(101,[2]!Table1_2[Q])</f>
        <v>10</v>
      </c>
      <c r="C3" s="1">
        <f>SUBTOTAL(101,[2]!Table1_2[F])</f>
        <v>5</v>
      </c>
      <c r="D3" s="1">
        <f>SUBTOTAL(101,[2]!Table1_2[world-width])</f>
        <v>10</v>
      </c>
      <c r="E3" s="1">
        <f>SUBTOTAL(101,[2]!Table1_2[world-height])</f>
        <v>10</v>
      </c>
      <c r="F3" s="1">
        <f>SUBTOTAL(101,[2]!Table1_2['[step']])</f>
        <v>87.9</v>
      </c>
      <c r="G3" s="1">
        <f>SUBTOTAL(101,[2]!Table1_2[event-count])</f>
        <v>8790000</v>
      </c>
      <c r="H3" s="1">
        <f>SUBTOTAL(101,[2]!Table1_2[interaction-count])</f>
        <v>337513</v>
      </c>
      <c r="I3" s="1">
        <f>SUBTOTAL(101,[2]!Table1_2[interaction-rate])</f>
        <v>3.9872846737329243E-2</v>
      </c>
      <c r="J3" s="1">
        <f>SUBTOTAL(101,[2]!Table1_2[unique-cultures])</f>
        <v>6.9333333333333336</v>
      </c>
      <c r="K3" s="2">
        <f>SUBTOTAL(101,[2]!Table1_2[number-of-regions])</f>
        <v>6.9333333333333336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venkatasriraj.m@outlook.com</dc:creator>
  <cp:lastModifiedBy>venkatasriraj.m@outlook.com</cp:lastModifiedBy>
  <dcterms:created xsi:type="dcterms:W3CDTF">2026-03-18T13:19:47Z</dcterms:created>
  <dcterms:modified xsi:type="dcterms:W3CDTF">2026-03-18T13:25:28Z</dcterms:modified>
</cp:coreProperties>
</file>